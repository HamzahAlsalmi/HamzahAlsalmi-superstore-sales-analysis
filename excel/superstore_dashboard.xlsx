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mzahalsalmi/Downloads/"/>
    </mc:Choice>
  </mc:AlternateContent>
  <xr:revisionPtr revIDLastSave="0" documentId="13_ncr:1_{9CAE9F6D-6950-8145-9D35-5F49A5772216}" xr6:coauthVersionLast="47" xr6:coauthVersionMax="47" xr10:uidLastSave="{00000000-0000-0000-0000-000000000000}"/>
  <bookViews>
    <workbookView xWindow="360" yWindow="520" windowWidth="28040" windowHeight="16320" xr2:uid="{1FC8F62D-598C-B147-9B88-536963D0CEE6}"/>
  </bookViews>
  <sheets>
    <sheet name="Dashboard" sheetId="9" r:id="rId1"/>
    <sheet name="KPI" sheetId="1" r:id="rId2"/>
    <sheet name="Category" sheetId="2" r:id="rId3"/>
    <sheet name="Region" sheetId="3" r:id="rId4"/>
    <sheet name="Segment" sheetId="4" r:id="rId5"/>
    <sheet name="Products" sheetId="5" r:id="rId6"/>
    <sheet name="Customers" sheetId="6" r:id="rId7"/>
    <sheet name="Monthly Trend" sheetId="7" r:id="rId8"/>
    <sheet name="Shipping" sheetId="8" r:id="rId9"/>
  </sheets>
  <definedNames>
    <definedName name="kpi_summary" localSheetId="1">KPI!$A$1:$C$2</definedName>
    <definedName name="monthly_sales_trend" localSheetId="7">'Monthly Trend'!$A$1:$B$49</definedName>
    <definedName name="sales_by_category" localSheetId="2">Category!$A$1:$B$4</definedName>
    <definedName name="sales_by_region" localSheetId="3">Region!$A$1:$B$5</definedName>
    <definedName name="sales_by_segment" localSheetId="4">Segment!$A$1:$C$4</definedName>
    <definedName name="shipping_performance" localSheetId="8">Shipping!$A$1:$B$5</definedName>
    <definedName name="top_10_customers" localSheetId="6">Customers!$A$1:$B$11</definedName>
    <definedName name="top_10_products" localSheetId="5">Products!$A$1:$B$11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9" l="1"/>
  <c r="C4" i="9"/>
  <c r="E4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D805E8-4200-F34D-B2B5-C777C21A2A4A}" name="kpi_summary" type="6" refreshedVersion="8" background="1" saveData="1">
    <textPr codePage="10000" sourceFile="/Users/hamzahalsalmi/Desktop/superstore-sales-analysis/excel/kpi_summary.csv" tab="0" comma="1">
      <textFields count="3">
        <textField/>
        <textField/>
        <textField/>
      </textFields>
    </textPr>
  </connection>
  <connection id="2" xr16:uid="{9303F9F8-3C2D-E04C-8EA8-3C1968E32864}" name="monthly_sales_trend" type="6" refreshedVersion="8" background="1" saveData="1">
    <textPr codePage="10000" sourceFile="/Users/hamzahalsalmi/Desktop/superstore-sales-analysis/excel/monthly_sales_trend.csv" tab="0" comma="1">
      <textFields count="2">
        <textField/>
        <textField/>
      </textFields>
    </textPr>
  </connection>
  <connection id="3" xr16:uid="{D5DF6C97-E774-FC4A-B284-D9C5BF7CD5B3}" name="sales_by_category" type="6" refreshedVersion="8" background="1" saveData="1">
    <textPr codePage="10000" sourceFile="/Users/hamzahalsalmi/Desktop/superstore-sales-analysis/excel/sales_by_category.csv" tab="0" comma="1">
      <textFields count="2">
        <textField/>
        <textField/>
      </textFields>
    </textPr>
  </connection>
  <connection id="4" xr16:uid="{ACFD0B78-3853-1747-8B17-DE93CBDD3DCB}" name="sales_by_region" type="6" refreshedVersion="8" background="1" saveData="1">
    <textPr codePage="10000" sourceFile="/Users/hamzahalsalmi/Desktop/superstore-sales-analysis/excel/sales_by_region.csv" tab="0" comma="1">
      <textFields count="2">
        <textField/>
        <textField/>
      </textFields>
    </textPr>
  </connection>
  <connection id="5" xr16:uid="{ECC4649D-13F2-3649-8C4F-5CBD013A9E94}" name="sales_by_segment" type="6" refreshedVersion="8" background="1" saveData="1">
    <textPr codePage="10000" sourceFile="/Users/hamzahalsalmi/Desktop/superstore-sales-analysis/excel/sales_by_segment.csv" tab="0" comma="1">
      <textFields count="3">
        <textField/>
        <textField/>
        <textField/>
      </textFields>
    </textPr>
  </connection>
  <connection id="6" xr16:uid="{83C8BDDE-B487-9A43-B3D6-9E72F4039F23}" name="shipping_performance" type="6" refreshedVersion="8" background="1" saveData="1">
    <textPr codePage="10000" sourceFile="/Users/hamzahalsalmi/Desktop/superstore-sales-analysis/excel/shipping_performance.csv" tab="0" comma="1">
      <textFields count="2">
        <textField/>
        <textField/>
      </textFields>
    </textPr>
  </connection>
  <connection id="7" xr16:uid="{243B1C37-2B0C-2545-AC4F-62A0459B782A}" name="top_10_customers" type="6" refreshedVersion="8" background="1" saveData="1">
    <textPr codePage="10000" sourceFile="/Users/hamzahalsalmi/Desktop/superstore-sales-analysis/excel/top_10_customers.csv" tab="0" comma="1">
      <textFields count="2">
        <textField/>
        <textField/>
      </textFields>
    </textPr>
  </connection>
  <connection id="8" xr16:uid="{48B5BBD7-9C86-2F47-9A8E-79B68F0781E6}" name="top_10_products" type="6" refreshedVersion="8" background="1" saveData="1">
    <textPr codePage="10000" sourceFile="/Users/hamzahalsalmi/Desktop/superstore-sales-analysis/excel/top_10_products.csv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<sst xmlns="http://schemas.openxmlformats.org/spreadsheetml/2006/main" count="56" uniqueCount="52">
  <si>
    <t>total_sales</t>
  </si>
  <si>
    <t>total_orders</t>
  </si>
  <si>
    <t>avg_order_value</t>
  </si>
  <si>
    <t>category</t>
  </si>
  <si>
    <t>Technology</t>
  </si>
  <si>
    <t>Furniture</t>
  </si>
  <si>
    <t>Office Supplies</t>
  </si>
  <si>
    <t>region</t>
  </si>
  <si>
    <t>West</t>
  </si>
  <si>
    <t>East</t>
  </si>
  <si>
    <t>Central</t>
  </si>
  <si>
    <t>South</t>
  </si>
  <si>
    <t>segment</t>
  </si>
  <si>
    <t>Consumer</t>
  </si>
  <si>
    <t>Corporate</t>
  </si>
  <si>
    <t>Home Office</t>
  </si>
  <si>
    <t>product_name</t>
  </si>
  <si>
    <t>total_revenue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</si>
  <si>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</si>
  <si>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</si>
  <si>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</si>
  <si>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</si>
  <si>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</si>
  <si>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</si>
  <si>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</si>
  <si>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</si>
  <si>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</si>
  <si>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</si>
  <si>
    <t>customer_name</t>
  </si>
  <si>
    <t>total_spent</t>
  </si>
  <si>
    <t>Sean Miller</t>
  </si>
  <si>
    <t>Tamara Chand</t>
  </si>
  <si>
    <t>Raymond Buch</t>
  </si>
  <si>
    <t>Tom Ashbrook</t>
  </si>
  <si>
    <t>Adrian Barton</t>
  </si>
  <si>
    <t>Ken Lonsdale</t>
  </si>
  <si>
    <t>Sanjit Chand</t>
  </si>
  <si>
    <t>Hunter Lopez</t>
  </si>
  <si>
    <t>Sanjit Engle</t>
  </si>
  <si>
    <t>Christopher Conant</t>
  </si>
  <si>
    <t>month</t>
  </si>
  <si>
    <t>monthly_sales</t>
  </si>
  <si>
    <t>ship_mode</t>
  </si>
  <si>
    <t>avg_shipping_days</t>
  </si>
  <si>
    <t>Same Day</t>
  </si>
  <si>
    <t>First Class</t>
  </si>
  <si>
    <t>Second Class</t>
  </si>
  <si>
    <t>Standard Class</t>
  </si>
  <si>
    <t>Total Orders</t>
  </si>
  <si>
    <t>Avg Order Value</t>
  </si>
  <si>
    <t>Superstore Revenue Performance Dashboard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</si>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</sst>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$&quot;#,##0.00"/>
    <numFmt numFmtId="171" formatCode="&quot;$&quot;#,##0"/>
  </numFmts>
  <fonts count="5" x14ac:knownFonts="1">
    <font>
      <sz val="12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28"/>
      <color theme="1"/>
      <name val="Aptos Narrow"/>
      <scheme val="minor"/>
    </font>
    <font>
      <b/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66" fontId="3" fillId="2" borderId="0" xfId="0" applyNumberFormat="1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171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Revenue by Product Category</a:t>
            </a:r>
          </a:p>
        </c:rich>
      </c:tx>
      <c:layout>
        <c:manualLayout>
          <c:xMode val="edge"/>
          <c:yMode val="edge"/>
          <c:x val="0.16960931005818786"/>
          <c:y val="3.23336860796728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91426071741032"/>
          <c:y val="0.14393518518518519"/>
          <c:w val="0.85230796150481192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Category!$B$1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Category!$B$2:$B$4</c:f>
              <c:numCache>
                <c:formatCode>General</c:formatCode>
                <c:ptCount val="3"/>
                <c:pt idx="0">
                  <c:v>827455.94</c:v>
                </c:pt>
                <c:pt idx="1">
                  <c:v>728658.75</c:v>
                </c:pt>
                <c:pt idx="2">
                  <c:v>705422.28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7-4B49-8EAD-B41D3823E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7372560"/>
        <c:axId val="1317374272"/>
      </c:barChart>
      <c:catAx>
        <c:axId val="131737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374272"/>
        <c:crosses val="autoZero"/>
        <c:auto val="1"/>
        <c:lblAlgn val="ctr"/>
        <c:lblOffset val="100"/>
        <c:noMultiLvlLbl val="0"/>
      </c:catAx>
      <c:valAx>
        <c:axId val="1317374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37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Region!$B$2:$B$5</c:f>
              <c:numCache>
                <c:formatCode>General</c:formatCode>
                <c:ptCount val="4"/>
                <c:pt idx="0">
                  <c:v>710219.77</c:v>
                </c:pt>
                <c:pt idx="1">
                  <c:v>669518.85</c:v>
                </c:pt>
                <c:pt idx="2">
                  <c:v>492646.9</c:v>
                </c:pt>
                <c:pt idx="3">
                  <c:v>389151.45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2-0A4D-8714-A8478242F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3867168"/>
        <c:axId val="942820112"/>
      </c:barChart>
      <c:catAx>
        <c:axId val="1323867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820112"/>
        <c:crosses val="autoZero"/>
        <c:auto val="1"/>
        <c:lblAlgn val="ctr"/>
        <c:lblOffset val="100"/>
        <c:noMultiLvlLbl val="0"/>
      </c:catAx>
      <c:valAx>
        <c:axId val="94282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86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Revenue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Segment!$C$1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Segment!$A$2:$A$4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Segment!$C$2:$C$4</c:f>
              <c:numCache>
                <c:formatCode>General</c:formatCode>
                <c:ptCount val="3"/>
                <c:pt idx="0">
                  <c:v>1148060.51</c:v>
                </c:pt>
                <c:pt idx="1">
                  <c:v>688494.14</c:v>
                </c:pt>
                <c:pt idx="2">
                  <c:v>424982.32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1-6143-82BB-D8EF6ADDA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9495104"/>
        <c:axId val="1349285872"/>
      </c:barChart>
      <c:catAx>
        <c:axId val="134949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285872"/>
        <c:crosses val="autoZero"/>
        <c:auto val="1"/>
        <c:lblAlgn val="ctr"/>
        <c:lblOffset val="100"/>
        <c:noMultiLvlLbl val="0"/>
      </c:catAx>
      <c:valAx>
        <c:axId val="1349285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49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Monthly</a:t>
            </a:r>
            <a:r>
              <a:rPr lang="en-US" sz="1600" b="1" baseline="0"/>
              <a:t> Sales Trend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58092738407699"/>
          <c:y val="0.18766221930592009"/>
          <c:w val="0.84085870516185479"/>
          <c:h val="0.63176436278798487"/>
        </c:manualLayout>
      </c:layout>
      <c:lineChart>
        <c:grouping val="standard"/>
        <c:varyColors val="0"/>
        <c:ser>
          <c:idx val="0"/>
          <c:order val="0"/>
          <c:tx>
            <c:strRef>
              <c:f>'Monthly Trend'!$B$1</c:f>
              <c:strCache>
                <c:ptCount val="1"/>
                <c:pt idx="0">
                  <c:v>monthly_sales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'Monthly Trend'!$A$2:$A$49</c:f>
              <c:numCache>
                <c:formatCode>m/d/yy</c:formatCode>
                <c:ptCount val="4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</c:numCache>
            </c:numRef>
          </c:cat>
          <c:val>
            <c:numRef>
              <c:f>'Monthly Trend'!$B$2:$B$49</c:f>
              <c:numCache>
                <c:formatCode>General</c:formatCode>
                <c:ptCount val="48"/>
                <c:pt idx="0">
                  <c:v>14205.71</c:v>
                </c:pt>
                <c:pt idx="1">
                  <c:v>4519.92</c:v>
                </c:pt>
                <c:pt idx="2">
                  <c:v>55205.83</c:v>
                </c:pt>
                <c:pt idx="3">
                  <c:v>27906.86</c:v>
                </c:pt>
                <c:pt idx="4">
                  <c:v>23644.3</c:v>
                </c:pt>
                <c:pt idx="5">
                  <c:v>34322.94</c:v>
                </c:pt>
                <c:pt idx="6">
                  <c:v>33781.519999999997</c:v>
                </c:pt>
                <c:pt idx="7">
                  <c:v>27117.53</c:v>
                </c:pt>
                <c:pt idx="8">
                  <c:v>81623.520000000004</c:v>
                </c:pt>
                <c:pt idx="9">
                  <c:v>31453.37</c:v>
                </c:pt>
                <c:pt idx="10">
                  <c:v>77907.69</c:v>
                </c:pt>
                <c:pt idx="11">
                  <c:v>68167.08</c:v>
                </c:pt>
                <c:pt idx="12">
                  <c:v>18066.96</c:v>
                </c:pt>
                <c:pt idx="13">
                  <c:v>11951.4</c:v>
                </c:pt>
                <c:pt idx="14">
                  <c:v>32339.32</c:v>
                </c:pt>
                <c:pt idx="15">
                  <c:v>34154.51</c:v>
                </c:pt>
                <c:pt idx="16">
                  <c:v>29959.56</c:v>
                </c:pt>
                <c:pt idx="17">
                  <c:v>23599.39</c:v>
                </c:pt>
                <c:pt idx="18">
                  <c:v>28608.25</c:v>
                </c:pt>
                <c:pt idx="19">
                  <c:v>36818.33</c:v>
                </c:pt>
                <c:pt idx="20">
                  <c:v>63133.56</c:v>
                </c:pt>
                <c:pt idx="21">
                  <c:v>31011.71</c:v>
                </c:pt>
                <c:pt idx="22">
                  <c:v>75249.350000000006</c:v>
                </c:pt>
                <c:pt idx="23">
                  <c:v>74543.600000000006</c:v>
                </c:pt>
                <c:pt idx="24">
                  <c:v>18542.52</c:v>
                </c:pt>
                <c:pt idx="25">
                  <c:v>22978.82</c:v>
                </c:pt>
                <c:pt idx="26">
                  <c:v>51165.04</c:v>
                </c:pt>
                <c:pt idx="27">
                  <c:v>38679.769999999997</c:v>
                </c:pt>
                <c:pt idx="28">
                  <c:v>56656.93</c:v>
                </c:pt>
                <c:pt idx="29">
                  <c:v>39724.49</c:v>
                </c:pt>
                <c:pt idx="30">
                  <c:v>38320.81</c:v>
                </c:pt>
                <c:pt idx="31">
                  <c:v>30542.18</c:v>
                </c:pt>
                <c:pt idx="32">
                  <c:v>69193.440000000002</c:v>
                </c:pt>
                <c:pt idx="33">
                  <c:v>59583.09</c:v>
                </c:pt>
                <c:pt idx="34">
                  <c:v>79066.559999999998</c:v>
                </c:pt>
                <c:pt idx="35">
                  <c:v>95739.15</c:v>
                </c:pt>
                <c:pt idx="36">
                  <c:v>43476.47</c:v>
                </c:pt>
                <c:pt idx="37">
                  <c:v>19920.98</c:v>
                </c:pt>
                <c:pt idx="38">
                  <c:v>58863.41</c:v>
                </c:pt>
                <c:pt idx="39">
                  <c:v>35541.9</c:v>
                </c:pt>
                <c:pt idx="40">
                  <c:v>43825.95</c:v>
                </c:pt>
                <c:pt idx="41">
                  <c:v>48190.73</c:v>
                </c:pt>
                <c:pt idx="42">
                  <c:v>44825.120000000003</c:v>
                </c:pt>
                <c:pt idx="43">
                  <c:v>62837.81</c:v>
                </c:pt>
                <c:pt idx="44">
                  <c:v>86152.9</c:v>
                </c:pt>
                <c:pt idx="45">
                  <c:v>77448.17</c:v>
                </c:pt>
                <c:pt idx="46">
                  <c:v>117938.14</c:v>
                </c:pt>
                <c:pt idx="47">
                  <c:v>83030.38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4A5-B54F-9223-1447D9C24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7985280"/>
        <c:axId val="907336480"/>
      </c:lineChart>
      <c:dateAx>
        <c:axId val="90798528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336480"/>
        <c:crosses val="autoZero"/>
        <c:auto val="1"/>
        <c:lblOffset val="100"/>
        <c:baseTimeUnit val="months"/>
      </c:dateAx>
      <c:valAx>
        <c:axId val="907336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98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Top</a:t>
            </a:r>
            <a:r>
              <a:rPr lang="en-US" sz="1600" b="1" baseline="0"/>
              <a:t> 10 Products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Products!$B$1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Products!$A$2:$A$11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Products!$B$2:$B$11</c:f>
              <c:numCache>
                <c:formatCode>General</c:formatCode>
                <c:ptCount val="10"/>
                <c:pt idx="0">
                  <c:v>61599.83</c:v>
                </c:pt>
                <c:pt idx="1">
                  <c:v>27453.38</c:v>
                </c:pt>
                <c:pt idx="2">
                  <c:v>22638.48</c:v>
                </c:pt>
                <c:pt idx="3">
                  <c:v>21870.57</c:v>
                </c:pt>
                <c:pt idx="4">
                  <c:v>19823.48</c:v>
                </c:pt>
                <c:pt idx="5">
                  <c:v>19024.5</c:v>
                </c:pt>
                <c:pt idx="6">
                  <c:v>18839.68</c:v>
                </c:pt>
                <c:pt idx="7">
                  <c:v>18374.900000000001</c:v>
                </c:pt>
                <c:pt idx="8">
                  <c:v>17965.07</c:v>
                </c:pt>
                <c:pt idx="9">
                  <c:v>17030.310000000001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A-8E4E-BB1D-4A244F7BB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0128048"/>
        <c:axId val="938332960"/>
      </c:barChart>
      <c:catAx>
        <c:axId val="1320128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332960"/>
        <c:crosses val="autoZero"/>
        <c:auto val="1"/>
        <c:lblAlgn val="ctr"/>
        <c:lblOffset val="100"/>
        <c:noMultiLvlLbl val="0"/>
      </c:catAx>
      <c:valAx>
        <c:axId val="93833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12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Top</a:t>
            </a:r>
            <a:r>
              <a:rPr lang="en-US" sz="1600" b="1" baseline="0"/>
              <a:t> 10 Customers by Sales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Customers!$B$1</c:f>
              <c:strCache>
                <c:ptCount val="1"/>
                <c:pt idx="0">
                  <c:v>total_spent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Customers!$A$2:$A$11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Customers!$B$2:$B$11</c:f>
              <c:numCache>
                <c:formatCode>General</c:formatCode>
                <c:ptCount val="10"/>
                <c:pt idx="0">
                  <c:v>25043.07</c:v>
                </c:pt>
                <c:pt idx="1">
                  <c:v>19052.22</c:v>
                </c:pt>
                <c:pt idx="2">
                  <c:v>15117.35</c:v>
                </c:pt>
                <c:pt idx="3">
                  <c:v>14595.62</c:v>
                </c:pt>
                <c:pt idx="4">
                  <c:v>14473.57</c:v>
                </c:pt>
                <c:pt idx="5">
                  <c:v>14175.23</c:v>
                </c:pt>
                <c:pt idx="6">
                  <c:v>14142.34</c:v>
                </c:pt>
                <c:pt idx="7">
                  <c:v>12873.3</c:v>
                </c:pt>
                <c:pt idx="8">
                  <c:v>12209.44</c:v>
                </c:pt>
                <c:pt idx="9">
                  <c:v>12129.08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8-2B40-9A44-CA3F87E24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8002736"/>
        <c:axId val="907838768"/>
      </c:barChart>
      <c:catAx>
        <c:axId val="908002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838768"/>
        <c:crosses val="autoZero"/>
        <c:auto val="1"/>
        <c:lblAlgn val="ctr"/>
        <c:lblOffset val="100"/>
        <c:noMultiLvlLbl val="0"/>
      </c:catAx>
      <c:valAx>
        <c:axId val="90783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00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88900</xdr:rowOff>
    </xdr:from>
    <xdr:to>
      <xdr:col>2</xdr:col>
      <xdr:colOff>342900</xdr:colOff>
      <xdr:row>19</xdr:row>
      <xdr:rowOff>193675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49914B-4096-A948-BB40-7762407A3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254000</xdr:colOff>
      <xdr:row>6</xdr:row>
      <xdr:rowOff>88900</xdr:rowOff>
    </xdr:from>
    <xdr:to>
      <xdr:col>7</xdr:col>
      <xdr:colOff>800100</xdr:colOff>
      <xdr:row>19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626900-D36C-B442-8538-B721A4E638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165100</xdr:rowOff>
    </xdr:from>
    <xdr:to>
      <xdr:col>2</xdr:col>
      <xdr:colOff>395115</xdr:colOff>
      <xdr:row>35</xdr:row>
      <xdr:rowOff>60325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AA2232-96CA-684C-9058-6F01075A11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254000</xdr:colOff>
      <xdr:row>21</xdr:row>
      <xdr:rowOff>165100</xdr:rowOff>
    </xdr:from>
    <xdr:to>
      <xdr:col>8</xdr:col>
      <xdr:colOff>76200</xdr:colOff>
      <xdr:row>35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D64D4B-5B23-9848-9D79-3F68B7E00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3</xdr:col>
      <xdr:colOff>127000</xdr:colOff>
      <xdr:row>51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56EA21C-13A3-D44F-B307-99B02B1AB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698500</xdr:colOff>
      <xdr:row>38</xdr:row>
      <xdr:rowOff>0</xdr:rowOff>
    </xdr:from>
    <xdr:to>
      <xdr:col>9</xdr:col>
      <xdr:colOff>95250</xdr:colOff>
      <xdr:row>51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4A5BC00-CCA8-F547-8A40-40F87752A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pi_summary" connectionId="1" xr16:uid="{BE54115C-8D0C-D744-9459-A0DC15357EDC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les_by_category" connectionId="3" xr16:uid="{E6D1AC01-A539-AA4C-84C3-67B472EBA1CF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les_by_region" connectionId="4" xr16:uid="{81FAC7F1-5700-7F44-8107-D6654206600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les_by_segment" connectionId="5" xr16:uid="{6BD50350-0A20-2E44-9BE9-FB6D5A14121F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p_10_products" connectionId="8" xr16:uid="{91942A77-2CC0-CD47-AAF5-1AABC19B0146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p_10_customers" connectionId="7" xr16:uid="{52282D8E-8105-1E40-A78B-533D9DF9F139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nthly_sales_trend" connectionId="2" xr16:uid="{EA27BF2F-F2BE-6640-AF8D-86898090D6A6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hipping_performance" connectionId="6" xr16:uid="{8B0D425F-7FC3-714D-A743-C9193CF21DE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D9676-E63E-0545-A9C8-DF552190DABF}">
  <dimension ref="A1:L54"/>
  <sheetViews>
    <sheetView showGridLines="0" tabSelected="1" zoomScale="80" zoomScaleNormal="80" workbookViewId="0">
      <selection activeCell="O23" sqref="O23"/>
    </sheetView>
  </sheetViews>
  <sheetFormatPr baseColWidth="10" defaultRowHeight="16" x14ac:dyDescent="0.2"/>
  <cols>
    <col min="1" max="1" width="35.1640625" bestFit="1" customWidth="1"/>
    <col min="3" max="3" width="19.5" bestFit="1" customWidth="1"/>
    <col min="5" max="5" width="17.1640625" bestFit="1" customWidth="1"/>
  </cols>
  <sheetData>
    <row r="1" spans="1:12" ht="22" x14ac:dyDescent="0.3">
      <c r="A1" s="8" t="s">
        <v>50</v>
      </c>
      <c r="B1" s="8"/>
      <c r="C1" s="8"/>
      <c r="D1" s="8"/>
      <c r="E1" s="8"/>
      <c r="F1" s="8"/>
      <c r="G1" s="8"/>
      <c r="H1" s="8"/>
      <c r="I1" s="2"/>
      <c r="J1" s="2"/>
      <c r="K1" s="2"/>
      <c r="L1" s="2"/>
    </row>
    <row r="2" spans="1:12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7" x14ac:dyDescent="0.2">
      <c r="A3" s="3" t="s">
        <v>51</v>
      </c>
      <c r="B3" s="3"/>
      <c r="C3" s="3" t="s">
        <v>48</v>
      </c>
      <c r="D3" s="3"/>
      <c r="E3" s="3" t="s">
        <v>49</v>
      </c>
      <c r="F3" s="4"/>
      <c r="G3" s="2"/>
      <c r="H3" s="2"/>
      <c r="I3" s="2"/>
      <c r="J3" s="2"/>
      <c r="K3" s="2"/>
      <c r="L3" s="2"/>
    </row>
    <row r="4" spans="1:12" ht="37" x14ac:dyDescent="0.2">
      <c r="A4" s="7">
        <f>KPI!A2</f>
        <v>2261536.9700000002</v>
      </c>
      <c r="B4" s="5"/>
      <c r="C4" s="6">
        <f>KPI!B2</f>
        <v>4922</v>
      </c>
      <c r="D4" s="5"/>
      <c r="E4" s="5">
        <f>KPI!C2</f>
        <v>459.48</v>
      </c>
      <c r="F4" s="4"/>
      <c r="G4" s="2"/>
      <c r="H4" s="2"/>
      <c r="I4" s="2"/>
      <c r="J4" s="2"/>
      <c r="K4" s="2"/>
      <c r="L4" s="2"/>
    </row>
    <row r="5" spans="1:12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F7FA-72B1-6E4D-BE09-7833817345DD}">
  <dimension ref="A1:C2"/>
  <sheetViews>
    <sheetView workbookViewId="0"/>
  </sheetViews>
  <sheetFormatPr baseColWidth="10" defaultRowHeight="16" x14ac:dyDescent="0.2"/>
  <cols>
    <col min="1" max="1" width="11.1640625" bestFit="1" customWidth="1"/>
    <col min="2" max="2" width="11" bestFit="1" customWidth="1"/>
    <col min="3" max="3" width="14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2261536.9700000002</v>
      </c>
      <c r="B2">
        <v>4922</v>
      </c>
      <c r="C2">
        <v>459.48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8AC00-D26F-3840-8997-B29294D6DC9E}">
  <dimension ref="A1:B4"/>
  <sheetViews>
    <sheetView workbookViewId="0">
      <selection activeCell="H14" sqref="H14"/>
    </sheetView>
  </sheetViews>
  <sheetFormatPr baseColWidth="10" defaultRowHeight="16" x14ac:dyDescent="0.2"/>
  <cols>
    <col min="1" max="1" width="13.1640625" bestFit="1" customWidth="1"/>
    <col min="2" max="2" width="10.1640625" bestFit="1" customWidth="1"/>
  </cols>
  <sheetData>
    <row r="1" spans="1:2" x14ac:dyDescent="0.2">
      <c r="A1" t="s">
        <v>3</v>
      </c>
      <c r="B1" t="s">
        <v>0</v>
      </c>
    </row>
    <row r="2" spans="1:2" x14ac:dyDescent="0.2">
      <c r="A2" t="s">
        <v>4</v>
      </c>
      <c r="B2">
        <v>827455.94</v>
      </c>
    </row>
    <row r="3" spans="1:2" x14ac:dyDescent="0.2">
      <c r="A3" t="s">
        <v>5</v>
      </c>
      <c r="B3">
        <v>728658.75</v>
      </c>
    </row>
    <row r="4" spans="1:2" x14ac:dyDescent="0.2">
      <c r="A4" t="s">
        <v>6</v>
      </c>
      <c r="B4">
        <v>705422.28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3ECD-C370-604C-B6A6-8613C6D62446}">
  <dimension ref="A1:B5"/>
  <sheetViews>
    <sheetView workbookViewId="0">
      <selection activeCell="D35" sqref="D35"/>
    </sheetView>
  </sheetViews>
  <sheetFormatPr baseColWidth="10" defaultRowHeight="16" x14ac:dyDescent="0.2"/>
  <cols>
    <col min="1" max="1" width="7.33203125" bestFit="1" customWidth="1"/>
    <col min="2" max="2" width="10.1640625" bestFit="1" customWidth="1"/>
  </cols>
  <sheetData>
    <row r="1" spans="1:2" x14ac:dyDescent="0.2">
      <c r="A1" t="s">
        <v>7</v>
      </c>
      <c r="B1" t="s">
        <v>0</v>
      </c>
    </row>
    <row r="2" spans="1:2" x14ac:dyDescent="0.2">
      <c r="A2" t="s">
        <v>8</v>
      </c>
      <c r="B2">
        <v>710219.77</v>
      </c>
    </row>
    <row r="3" spans="1:2" x14ac:dyDescent="0.2">
      <c r="A3" t="s">
        <v>9</v>
      </c>
      <c r="B3">
        <v>669518.85</v>
      </c>
    </row>
    <row r="4" spans="1:2" x14ac:dyDescent="0.2">
      <c r="A4" t="s">
        <v>10</v>
      </c>
      <c r="B4">
        <v>492646.9</v>
      </c>
    </row>
    <row r="5" spans="1:2" x14ac:dyDescent="0.2">
      <c r="A5" t="s">
        <v>11</v>
      </c>
      <c r="B5">
        <v>389151.45</v>
      </c>
    </row>
  </sheetData>
  <sortState xmlns:xlrd2="http://schemas.microsoft.com/office/spreadsheetml/2017/richdata2" ref="A2:B5">
    <sortCondition descending="1" ref="B2:B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9BAA2-6BC7-9C4A-BBEB-6E55C1F2AC65}">
  <dimension ref="A1:C4"/>
  <sheetViews>
    <sheetView workbookViewId="0">
      <selection activeCell="F13" sqref="F13"/>
    </sheetView>
  </sheetViews>
  <sheetFormatPr baseColWidth="10" defaultRowHeight="16" x14ac:dyDescent="0.2"/>
  <cols>
    <col min="1" max="1" width="11.1640625" bestFit="1" customWidth="1"/>
    <col min="2" max="2" width="11" bestFit="1" customWidth="1"/>
    <col min="3" max="3" width="11.1640625" bestFit="1" customWidth="1"/>
  </cols>
  <sheetData>
    <row r="1" spans="1:3" x14ac:dyDescent="0.2">
      <c r="A1" t="s">
        <v>12</v>
      </c>
      <c r="B1" t="s">
        <v>1</v>
      </c>
      <c r="C1" t="s">
        <v>0</v>
      </c>
    </row>
    <row r="2" spans="1:3" x14ac:dyDescent="0.2">
      <c r="A2" t="s">
        <v>13</v>
      </c>
      <c r="B2">
        <v>2537</v>
      </c>
      <c r="C2">
        <v>1148060.51</v>
      </c>
    </row>
    <row r="3" spans="1:3" x14ac:dyDescent="0.2">
      <c r="A3" t="s">
        <v>14</v>
      </c>
      <c r="B3">
        <v>1491</v>
      </c>
      <c r="C3">
        <v>688494.14</v>
      </c>
    </row>
    <row r="4" spans="1:3" x14ac:dyDescent="0.2">
      <c r="A4" t="s">
        <v>15</v>
      </c>
      <c r="B4">
        <v>894</v>
      </c>
      <c r="C4">
        <v>424982.32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7C87-9E69-F343-8E67-0C397A720B65}">
  <dimension ref="A1:B11"/>
  <sheetViews>
    <sheetView workbookViewId="0">
      <selection activeCell="A20" sqref="A20"/>
    </sheetView>
  </sheetViews>
  <sheetFormatPr baseColWidth="10" defaultRowHeight="16" x14ac:dyDescent="0.2"/>
  <cols>
    <col min="1" max="1" width="66.33203125" bestFit="1" customWidth="1"/>
    <col min="2" max="2" width="12.33203125" bestFit="1" customWidth="1"/>
  </cols>
  <sheetData>
    <row r="1" spans="1:2" x14ac:dyDescent="0.2">
      <c r="A1" t="s">
        <v>16</v>
      </c>
      <c r="B1" t="s">
        <v>17</v>
      </c>
    </row>
    <row r="2" spans="1:2" x14ac:dyDescent="0.2">
      <c r="A2" t="s">
        <v>18</v>
      </c>
      <c r="B2">
        <v>61599.83</v>
      </c>
    </row>
    <row r="3" spans="1:2" x14ac:dyDescent="0.2">
      <c r="A3" t="s">
        <v>19</v>
      </c>
      <c r="B3">
        <v>27453.38</v>
      </c>
    </row>
    <row r="4" spans="1:2" x14ac:dyDescent="0.2">
      <c r="A4" t="s">
        <v>20</v>
      </c>
      <c r="B4">
        <v>22638.48</v>
      </c>
    </row>
    <row r="5" spans="1:2" x14ac:dyDescent="0.2">
      <c r="A5" t="s">
        <v>21</v>
      </c>
      <c r="B5">
        <v>21870.57</v>
      </c>
    </row>
    <row r="6" spans="1:2" x14ac:dyDescent="0.2">
      <c r="A6" t="s">
        <v>22</v>
      </c>
      <c r="B6">
        <v>19823.48</v>
      </c>
    </row>
    <row r="7" spans="1:2" x14ac:dyDescent="0.2">
      <c r="A7" t="s">
        <v>23</v>
      </c>
      <c r="B7">
        <v>19024.5</v>
      </c>
    </row>
    <row r="8" spans="1:2" x14ac:dyDescent="0.2">
      <c r="A8" t="s">
        <v>24</v>
      </c>
      <c r="B8">
        <v>18839.68</v>
      </c>
    </row>
    <row r="9" spans="1:2" x14ac:dyDescent="0.2">
      <c r="A9" t="s">
        <v>25</v>
      </c>
      <c r="B9">
        <v>18374.900000000001</v>
      </c>
    </row>
    <row r="10" spans="1:2" x14ac:dyDescent="0.2">
      <c r="A10" t="s">
        <v>26</v>
      </c>
      <c r="B10">
        <v>17965.07</v>
      </c>
    </row>
    <row r="11" spans="1:2" x14ac:dyDescent="0.2">
      <c r="A11" t="s">
        <v>27</v>
      </c>
      <c r="B11">
        <v>17030.310000000001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7A3F-1765-CB49-BA29-5C34EE7B2DC6}">
  <dimension ref="A1:B11"/>
  <sheetViews>
    <sheetView workbookViewId="0">
      <selection activeCell="A27" sqref="A27"/>
    </sheetView>
  </sheetViews>
  <sheetFormatPr baseColWidth="10" defaultRowHeight="16" x14ac:dyDescent="0.2"/>
  <cols>
    <col min="1" max="1" width="17.33203125" bestFit="1" customWidth="1"/>
    <col min="2" max="2" width="10.33203125" bestFit="1" customWidth="1"/>
  </cols>
  <sheetData>
    <row r="1" spans="1:2" x14ac:dyDescent="0.2">
      <c r="A1" t="s">
        <v>28</v>
      </c>
      <c r="B1" t="s">
        <v>29</v>
      </c>
    </row>
    <row r="2" spans="1:2" x14ac:dyDescent="0.2">
      <c r="A2" t="s">
        <v>30</v>
      </c>
      <c r="B2">
        <v>25043.07</v>
      </c>
    </row>
    <row r="3" spans="1:2" x14ac:dyDescent="0.2">
      <c r="A3" t="s">
        <v>31</v>
      </c>
      <c r="B3">
        <v>19052.22</v>
      </c>
    </row>
    <row r="4" spans="1:2" x14ac:dyDescent="0.2">
      <c r="A4" t="s">
        <v>32</v>
      </c>
      <c r="B4">
        <v>15117.35</v>
      </c>
    </row>
    <row r="5" spans="1:2" x14ac:dyDescent="0.2">
      <c r="A5" t="s">
        <v>33</v>
      </c>
      <c r="B5">
        <v>14595.62</v>
      </c>
    </row>
    <row r="6" spans="1:2" x14ac:dyDescent="0.2">
      <c r="A6" t="s">
        <v>34</v>
      </c>
      <c r="B6">
        <v>14473.57</v>
      </c>
    </row>
    <row r="7" spans="1:2" x14ac:dyDescent="0.2">
      <c r="A7" t="s">
        <v>35</v>
      </c>
      <c r="B7">
        <v>14175.23</v>
      </c>
    </row>
    <row r="8" spans="1:2" x14ac:dyDescent="0.2">
      <c r="A8" t="s">
        <v>36</v>
      </c>
      <c r="B8">
        <v>14142.34</v>
      </c>
    </row>
    <row r="9" spans="1:2" x14ac:dyDescent="0.2">
      <c r="A9" t="s">
        <v>37</v>
      </c>
      <c r="B9">
        <v>12873.3</v>
      </c>
    </row>
    <row r="10" spans="1:2" x14ac:dyDescent="0.2">
      <c r="A10" t="s">
        <v>38</v>
      </c>
      <c r="B10">
        <v>12209.44</v>
      </c>
    </row>
    <row r="11" spans="1:2" x14ac:dyDescent="0.2">
      <c r="A11" t="s">
        <v>39</v>
      </c>
      <c r="B11">
        <v>12129.08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0D574-2B7F-8145-9D17-1C34A8B5FD62}">
  <dimension ref="A1:B49"/>
  <sheetViews>
    <sheetView topLeftCell="A17" workbookViewId="0">
      <selection activeCell="I27" sqref="I27"/>
    </sheetView>
  </sheetViews>
  <sheetFormatPr baseColWidth="10" defaultRowHeight="16" x14ac:dyDescent="0.2"/>
  <cols>
    <col min="1" max="1" width="7.5" bestFit="1" customWidth="1"/>
    <col min="2" max="2" width="12.6640625" bestFit="1" customWidth="1"/>
  </cols>
  <sheetData>
    <row r="1" spans="1:2" x14ac:dyDescent="0.2">
      <c r="A1" t="s">
        <v>40</v>
      </c>
      <c r="B1" t="s">
        <v>41</v>
      </c>
    </row>
    <row r="2" spans="1:2" x14ac:dyDescent="0.2">
      <c r="A2" s="1">
        <v>42005</v>
      </c>
      <c r="B2">
        <v>14205.71</v>
      </c>
    </row>
    <row r="3" spans="1:2" x14ac:dyDescent="0.2">
      <c r="A3" s="1">
        <v>42036</v>
      </c>
      <c r="B3">
        <v>4519.92</v>
      </c>
    </row>
    <row r="4" spans="1:2" x14ac:dyDescent="0.2">
      <c r="A4" s="1">
        <v>42064</v>
      </c>
      <c r="B4">
        <v>55205.83</v>
      </c>
    </row>
    <row r="5" spans="1:2" x14ac:dyDescent="0.2">
      <c r="A5" s="1">
        <v>42095</v>
      </c>
      <c r="B5">
        <v>27906.86</v>
      </c>
    </row>
    <row r="6" spans="1:2" x14ac:dyDescent="0.2">
      <c r="A6" s="1">
        <v>42125</v>
      </c>
      <c r="B6">
        <v>23644.3</v>
      </c>
    </row>
    <row r="7" spans="1:2" x14ac:dyDescent="0.2">
      <c r="A7" s="1">
        <v>42156</v>
      </c>
      <c r="B7">
        <v>34322.94</v>
      </c>
    </row>
    <row r="8" spans="1:2" x14ac:dyDescent="0.2">
      <c r="A8" s="1">
        <v>42186</v>
      </c>
      <c r="B8">
        <v>33781.519999999997</v>
      </c>
    </row>
    <row r="9" spans="1:2" x14ac:dyDescent="0.2">
      <c r="A9" s="1">
        <v>42217</v>
      </c>
      <c r="B9">
        <v>27117.53</v>
      </c>
    </row>
    <row r="10" spans="1:2" x14ac:dyDescent="0.2">
      <c r="A10" s="1">
        <v>42248</v>
      </c>
      <c r="B10">
        <v>81623.520000000004</v>
      </c>
    </row>
    <row r="11" spans="1:2" x14ac:dyDescent="0.2">
      <c r="A11" s="1">
        <v>42278</v>
      </c>
      <c r="B11">
        <v>31453.37</v>
      </c>
    </row>
    <row r="12" spans="1:2" x14ac:dyDescent="0.2">
      <c r="A12" s="1">
        <v>42309</v>
      </c>
      <c r="B12">
        <v>77907.69</v>
      </c>
    </row>
    <row r="13" spans="1:2" x14ac:dyDescent="0.2">
      <c r="A13" s="1">
        <v>42339</v>
      </c>
      <c r="B13">
        <v>68167.08</v>
      </c>
    </row>
    <row r="14" spans="1:2" x14ac:dyDescent="0.2">
      <c r="A14" s="1">
        <v>42370</v>
      </c>
      <c r="B14">
        <v>18066.96</v>
      </c>
    </row>
    <row r="15" spans="1:2" x14ac:dyDescent="0.2">
      <c r="A15" s="1">
        <v>42401</v>
      </c>
      <c r="B15">
        <v>11951.4</v>
      </c>
    </row>
    <row r="16" spans="1:2" x14ac:dyDescent="0.2">
      <c r="A16" s="1">
        <v>42430</v>
      </c>
      <c r="B16">
        <v>32339.32</v>
      </c>
    </row>
    <row r="17" spans="1:2" x14ac:dyDescent="0.2">
      <c r="A17" s="1">
        <v>42461</v>
      </c>
      <c r="B17">
        <v>34154.51</v>
      </c>
    </row>
    <row r="18" spans="1:2" x14ac:dyDescent="0.2">
      <c r="A18" s="1">
        <v>42491</v>
      </c>
      <c r="B18">
        <v>29959.56</v>
      </c>
    </row>
    <row r="19" spans="1:2" x14ac:dyDescent="0.2">
      <c r="A19" s="1">
        <v>42522</v>
      </c>
      <c r="B19">
        <v>23599.39</v>
      </c>
    </row>
    <row r="20" spans="1:2" x14ac:dyDescent="0.2">
      <c r="A20" s="1">
        <v>42552</v>
      </c>
      <c r="B20">
        <v>28608.25</v>
      </c>
    </row>
    <row r="21" spans="1:2" x14ac:dyDescent="0.2">
      <c r="A21" s="1">
        <v>42583</v>
      </c>
      <c r="B21">
        <v>36818.33</v>
      </c>
    </row>
    <row r="22" spans="1:2" x14ac:dyDescent="0.2">
      <c r="A22" s="1">
        <v>42614</v>
      </c>
      <c r="B22">
        <v>63133.56</v>
      </c>
    </row>
    <row r="23" spans="1:2" x14ac:dyDescent="0.2">
      <c r="A23" s="1">
        <v>42644</v>
      </c>
      <c r="B23">
        <v>31011.71</v>
      </c>
    </row>
    <row r="24" spans="1:2" x14ac:dyDescent="0.2">
      <c r="A24" s="1">
        <v>42675</v>
      </c>
      <c r="B24">
        <v>75249.350000000006</v>
      </c>
    </row>
    <row r="25" spans="1:2" x14ac:dyDescent="0.2">
      <c r="A25" s="1">
        <v>42705</v>
      </c>
      <c r="B25">
        <v>74543.600000000006</v>
      </c>
    </row>
    <row r="26" spans="1:2" x14ac:dyDescent="0.2">
      <c r="A26" s="1">
        <v>42736</v>
      </c>
      <c r="B26">
        <v>18542.52</v>
      </c>
    </row>
    <row r="27" spans="1:2" x14ac:dyDescent="0.2">
      <c r="A27" s="1">
        <v>42767</v>
      </c>
      <c r="B27">
        <v>22978.82</v>
      </c>
    </row>
    <row r="28" spans="1:2" x14ac:dyDescent="0.2">
      <c r="A28" s="1">
        <v>42795</v>
      </c>
      <c r="B28">
        <v>51165.04</v>
      </c>
    </row>
    <row r="29" spans="1:2" x14ac:dyDescent="0.2">
      <c r="A29" s="1">
        <v>42826</v>
      </c>
      <c r="B29">
        <v>38679.769999999997</v>
      </c>
    </row>
    <row r="30" spans="1:2" x14ac:dyDescent="0.2">
      <c r="A30" s="1">
        <v>42856</v>
      </c>
      <c r="B30">
        <v>56656.93</v>
      </c>
    </row>
    <row r="31" spans="1:2" x14ac:dyDescent="0.2">
      <c r="A31" s="1">
        <v>42887</v>
      </c>
      <c r="B31">
        <v>39724.49</v>
      </c>
    </row>
    <row r="32" spans="1:2" x14ac:dyDescent="0.2">
      <c r="A32" s="1">
        <v>42917</v>
      </c>
      <c r="B32">
        <v>38320.81</v>
      </c>
    </row>
    <row r="33" spans="1:2" x14ac:dyDescent="0.2">
      <c r="A33" s="1">
        <v>42948</v>
      </c>
      <c r="B33">
        <v>30542.18</v>
      </c>
    </row>
    <row r="34" spans="1:2" x14ac:dyDescent="0.2">
      <c r="A34" s="1">
        <v>42979</v>
      </c>
      <c r="B34">
        <v>69193.440000000002</v>
      </c>
    </row>
    <row r="35" spans="1:2" x14ac:dyDescent="0.2">
      <c r="A35" s="1">
        <v>43009</v>
      </c>
      <c r="B35">
        <v>59583.09</v>
      </c>
    </row>
    <row r="36" spans="1:2" x14ac:dyDescent="0.2">
      <c r="A36" s="1">
        <v>43040</v>
      </c>
      <c r="B36">
        <v>79066.559999999998</v>
      </c>
    </row>
    <row r="37" spans="1:2" x14ac:dyDescent="0.2">
      <c r="A37" s="1">
        <v>43070</v>
      </c>
      <c r="B37">
        <v>95739.15</v>
      </c>
    </row>
    <row r="38" spans="1:2" x14ac:dyDescent="0.2">
      <c r="A38" s="1">
        <v>43101</v>
      </c>
      <c r="B38">
        <v>43476.47</v>
      </c>
    </row>
    <row r="39" spans="1:2" x14ac:dyDescent="0.2">
      <c r="A39" s="1">
        <v>43132</v>
      </c>
      <c r="B39">
        <v>19920.98</v>
      </c>
    </row>
    <row r="40" spans="1:2" x14ac:dyDescent="0.2">
      <c r="A40" s="1">
        <v>43160</v>
      </c>
      <c r="B40">
        <v>58863.41</v>
      </c>
    </row>
    <row r="41" spans="1:2" x14ac:dyDescent="0.2">
      <c r="A41" s="1">
        <v>43191</v>
      </c>
      <c r="B41">
        <v>35541.9</v>
      </c>
    </row>
    <row r="42" spans="1:2" x14ac:dyDescent="0.2">
      <c r="A42" s="1">
        <v>43221</v>
      </c>
      <c r="B42">
        <v>43825.95</v>
      </c>
    </row>
    <row r="43" spans="1:2" x14ac:dyDescent="0.2">
      <c r="A43" s="1">
        <v>43252</v>
      </c>
      <c r="B43">
        <v>48190.73</v>
      </c>
    </row>
    <row r="44" spans="1:2" x14ac:dyDescent="0.2">
      <c r="A44" s="1">
        <v>43282</v>
      </c>
      <c r="B44">
        <v>44825.120000000003</v>
      </c>
    </row>
    <row r="45" spans="1:2" x14ac:dyDescent="0.2">
      <c r="A45" s="1">
        <v>43313</v>
      </c>
      <c r="B45">
        <v>62837.81</v>
      </c>
    </row>
    <row r="46" spans="1:2" x14ac:dyDescent="0.2">
      <c r="A46" s="1">
        <v>43344</v>
      </c>
      <c r="B46">
        <v>86152.9</v>
      </c>
    </row>
    <row r="47" spans="1:2" x14ac:dyDescent="0.2">
      <c r="A47" s="1">
        <v>43374</v>
      </c>
      <c r="B47">
        <v>77448.17</v>
      </c>
    </row>
    <row r="48" spans="1:2" x14ac:dyDescent="0.2">
      <c r="A48" s="1">
        <v>43405</v>
      </c>
      <c r="B48">
        <v>117938.14</v>
      </c>
    </row>
    <row r="49" spans="1:2" x14ac:dyDescent="0.2">
      <c r="A49" s="1">
        <v>43435</v>
      </c>
      <c r="B49">
        <v>83030.38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D17CA-A76A-554C-9C29-49ED330C88C5}">
  <dimension ref="A1:B5"/>
  <sheetViews>
    <sheetView workbookViewId="0"/>
  </sheetViews>
  <sheetFormatPr baseColWidth="10" defaultRowHeight="16" x14ac:dyDescent="0.2"/>
  <cols>
    <col min="1" max="1" width="13.33203125" bestFit="1" customWidth="1"/>
    <col min="2" max="2" width="15.83203125" bestFit="1" customWidth="1"/>
  </cols>
  <sheetData>
    <row r="1" spans="1:2" x14ac:dyDescent="0.2">
      <c r="A1" t="s">
        <v>42</v>
      </c>
      <c r="B1" t="s">
        <v>43</v>
      </c>
    </row>
    <row r="2" spans="1:2" x14ac:dyDescent="0.2">
      <c r="A2" t="s">
        <v>44</v>
      </c>
      <c r="B2">
        <v>0.04</v>
      </c>
    </row>
    <row r="3" spans="1:2" x14ac:dyDescent="0.2">
      <c r="A3" t="s">
        <v>45</v>
      </c>
      <c r="B3">
        <v>2.1800000000000002</v>
      </c>
    </row>
    <row r="4" spans="1:2" x14ac:dyDescent="0.2">
      <c r="A4" t="s">
        <v>46</v>
      </c>
      <c r="B4">
        <v>3.25</v>
      </c>
    </row>
    <row r="5" spans="1:2" x14ac:dyDescent="0.2">
      <c r="A5" t="s">
        <v>47</v>
      </c>
      <c r="B5">
        <v>5.01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Dashboard</vt:lpstr>
      <vt:lpstr>KPI</vt:lpstr>
      <vt:lpstr>Category</vt:lpstr>
      <vt:lpstr>Region</vt:lpstr>
      <vt:lpstr>Segment</vt:lpstr>
      <vt:lpstr>Products</vt:lpstr>
      <vt:lpstr>Customers</vt:lpstr>
      <vt:lpstr>Monthly Trend</vt:lpstr>
      <vt:lpstr>Shipping</vt:lpstr>
      <vt:lpstr>KPI!kpi_summary</vt:lpstr>
      <vt:lpstr>'Monthly Trend'!monthly_sales_trend</vt:lpstr>
      <vt:lpstr>Category!sales_by_category</vt:lpstr>
      <vt:lpstr>Region!sales_by_region</vt:lpstr>
      <vt:lpstr>Segment!sales_by_segment</vt:lpstr>
      <vt:lpstr>Shipping!shipping_performance</vt:lpstr>
      <vt:lpstr>Customers!top_10_customers</vt:lpstr>
      <vt:lpstr>Products!top_10_products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 JE</dc:creator>
  <cp:lastModifiedBy>RM JE</cp:lastModifiedBy>
  <dcterms:created xsi:type="dcterms:W3CDTF">2026-03-10T01:55:23Z</dcterms:created>
  <dcterms:modified xsi:type="dcterms:W3CDTF">2026-03-11T21:31:14Z</dcterms:modified>
</cp:coreProperties>
</file>